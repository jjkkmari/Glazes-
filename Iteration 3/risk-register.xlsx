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zmy\"/>
    </mc:Choice>
  </mc:AlternateContent>
  <xr:revisionPtr revIDLastSave="0" documentId="8_{723B4CF0-F2D3-4280-BA73-BF64DCE090D0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Risk log" sheetId="1" r:id="rId1"/>
    <sheet name="Severity Table" sheetId="2" r:id="rId2"/>
    <sheet name="Dropdowns" sheetId="3" r:id="rId3"/>
  </sheets>
  <definedNames>
    <definedName name="_xlnm.Print_Area" localSheetId="0">'Risk log'!$A$1:$K$12</definedName>
    <definedName name="_xlnm.Print_Titles" localSheetId="0">'Risk log'!$6:$6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/>
  <c r="R4" i="1"/>
  <c r="P5" i="1"/>
  <c r="Q5" i="1"/>
  <c r="R5" i="1"/>
  <c r="N6" i="1"/>
  <c r="O6" i="1"/>
  <c r="P6" i="1"/>
  <c r="Q6" i="1"/>
  <c r="R6" i="1"/>
  <c r="N7" i="1"/>
  <c r="O7" i="1"/>
  <c r="P7" i="1"/>
  <c r="Q7" i="1"/>
  <c r="R7" i="1"/>
  <c r="N8" i="1"/>
  <c r="O8" i="1"/>
  <c r="P8" i="1"/>
  <c r="Q8" i="1"/>
  <c r="R8" i="1"/>
  <c r="H4" i="2"/>
  <c r="I4" i="2"/>
  <c r="J4" i="2"/>
  <c r="K4" i="2"/>
  <c r="L4" i="2"/>
  <c r="H5" i="2"/>
  <c r="I5" i="2"/>
  <c r="J5" i="2"/>
  <c r="K5" i="2"/>
  <c r="L5" i="2"/>
  <c r="H6" i="2"/>
  <c r="I6" i="2"/>
  <c r="J6" i="2"/>
  <c r="K6" i="2"/>
  <c r="L6" i="2"/>
  <c r="H7" i="2"/>
  <c r="I7" i="2"/>
  <c r="J7" i="2"/>
  <c r="K7" i="2"/>
  <c r="L7" i="2"/>
  <c r="H8" i="2"/>
  <c r="I8" i="2"/>
  <c r="J8" i="2"/>
  <c r="K8" i="2"/>
  <c r="L8" i="2"/>
</calcChain>
</file>

<file path=xl/sharedStrings.xml><?xml version="1.0" encoding="utf-8"?>
<sst xmlns="http://schemas.openxmlformats.org/spreadsheetml/2006/main" count="102" uniqueCount="58">
  <si>
    <t>ID</t>
  </si>
  <si>
    <t>Risk description</t>
  </si>
  <si>
    <t>Date raised</t>
  </si>
  <si>
    <t>Likelihood</t>
  </si>
  <si>
    <t>Impact</t>
  </si>
  <si>
    <t>Status</t>
  </si>
  <si>
    <t>Progress on actions</t>
  </si>
  <si>
    <t>Low</t>
  </si>
  <si>
    <t>Medium</t>
  </si>
  <si>
    <t>High</t>
  </si>
  <si>
    <t>Risk Register</t>
  </si>
  <si>
    <t>Open</t>
  </si>
  <si>
    <t>[enter date]</t>
  </si>
  <si>
    <t xml:space="preserve">Project Sponsor has agreed to hold briefing. Now making arrangements for a meeting room. </t>
  </si>
  <si>
    <t>Contingency agreed by Project Board.</t>
  </si>
  <si>
    <r>
      <t xml:space="preserve">Contingent action
</t>
    </r>
    <r>
      <rPr>
        <i/>
        <sz val="11"/>
        <color indexed="10"/>
        <rFont val="Calibri"/>
        <family val="2"/>
      </rPr>
      <t>Action to be taken if the risk happens.</t>
    </r>
  </si>
  <si>
    <r>
      <t xml:space="preserve">Mitigating action
</t>
    </r>
    <r>
      <rPr>
        <i/>
        <sz val="11"/>
        <color indexed="10"/>
        <rFont val="Calibri"/>
        <family val="2"/>
      </rPr>
      <t>Actions to mitigate the risk e.g. reduce the likelihood.</t>
    </r>
  </si>
  <si>
    <t>Impact if the risk occurs</t>
  </si>
  <si>
    <r>
      <t>Owner</t>
    </r>
    <r>
      <rPr>
        <i/>
        <sz val="11"/>
        <color indexed="10"/>
        <rFont val="Calibri"/>
        <family val="2"/>
      </rPr>
      <t xml:space="preserve">
Person who will manage the risk. </t>
    </r>
  </si>
  <si>
    <r>
      <t xml:space="preserve">Severity
</t>
    </r>
    <r>
      <rPr>
        <i/>
        <sz val="11"/>
        <color indexed="10"/>
        <rFont val="Calibri"/>
        <family val="2"/>
      </rPr>
      <t>Rating based on impact &amp; likelihood.</t>
    </r>
  </si>
  <si>
    <t xml:space="preserve">Business case re-written with clear deliverables and submitted to the project board for approval. </t>
  </si>
  <si>
    <t>Design workshops scheduled.</t>
  </si>
  <si>
    <t>Workshops scheduled.</t>
  </si>
  <si>
    <t xml:space="preserve">Lead time from each contractor built into the project schedule. Late penalties agreed to and contracts signed. </t>
  </si>
  <si>
    <t>Likelihood of the risk occurring</t>
  </si>
  <si>
    <t>Useful resources</t>
  </si>
  <si>
    <t xml:space="preserve">Break this risk into two: 'cost estimating' and 'scheduling errors'. 
Use two methods of cost estimation, and carefully track costs and forecast cost at completion making adjustments as necessary. 
Build in 10% contingency on cost and scheduling. 
Track schedules daily and include schedule review as an agenda item in every project team meeting. 
Flag forecast errors and/or delays to the Project Board early. 
</t>
  </si>
  <si>
    <t>[select]</t>
  </si>
  <si>
    <t>In progress</t>
  </si>
  <si>
    <t>Closed</t>
  </si>
  <si>
    <r>
      <rPr>
        <sz val="14"/>
        <color indexed="23"/>
        <rFont val="Calibri"/>
        <family val="2"/>
      </rPr>
      <t xml:space="preserve">Project manager: </t>
    </r>
    <r>
      <rPr>
        <sz val="14"/>
        <color indexed="8"/>
        <rFont val="Calibri"/>
        <family val="2"/>
      </rPr>
      <t>Bob</t>
    </r>
  </si>
  <si>
    <t>Jazmyne Kingi</t>
  </si>
  <si>
    <t>Glazes Project risks</t>
  </si>
  <si>
    <t>Project name:</t>
  </si>
  <si>
    <t>[start]</t>
  </si>
  <si>
    <t xml:space="preserve">Human Resources, to anticipate issues such as turn overs, labor disputes or worker shortages. </t>
  </si>
  <si>
    <t>Project manager</t>
  </si>
  <si>
    <t xml:space="preserve">Project management, Scope creep, lack of communication, unreseolved conflicts </t>
  </si>
  <si>
    <t xml:space="preserve">Operational and supply chain, Vendor delays, manufacturing disruptions, logistical bottlenecks  </t>
  </si>
  <si>
    <t xml:space="preserve">IT and Security, Data breaches, ransomeware and systems outages </t>
  </si>
  <si>
    <t xml:space="preserve">Finance and compliance, Late tax, international payment and regulatory checks. </t>
  </si>
  <si>
    <t xml:space="preserve">Eternal threats, Acts of weather, legal action, theift.  </t>
  </si>
  <si>
    <t>Project sponsor</t>
  </si>
  <si>
    <t>HR manager CISO</t>
  </si>
  <si>
    <t xml:space="preserve">Finance manager </t>
  </si>
  <si>
    <t>IT manager</t>
  </si>
  <si>
    <t>Operations manager, supply chain lead</t>
  </si>
  <si>
    <t>Implement a formal change control board and daily stand up meetings to ensure clarity.</t>
  </si>
  <si>
    <t xml:space="preserve">Diversify vendors to avoid single-point failures and maintain "buffer stick" for critical componets </t>
  </si>
  <si>
    <t xml:space="preserve">Deploy multi-factor authentication, regular encrypted back ups and employee phishing training </t>
  </si>
  <si>
    <t xml:space="preserve">Use automated compliance software and enforce segregation of duties for all finacial transactions. </t>
  </si>
  <si>
    <t xml:space="preserve">cross-training all team members on critical tasks to ensure informativable. </t>
  </si>
  <si>
    <t>https://elogic.co/blog/ecommerce-project-manager-responsibilities-explained/</t>
  </si>
  <si>
    <t>https://www.shipbob.com/blog/ecommerce-operations/</t>
  </si>
  <si>
    <t>https://www.fortinet.com/resources/cyberglossary/it-security</t>
  </si>
  <si>
    <t>https://www.stakeholdermap.com/project-dictionary/project-dictionary-p.html#project-sponsor</t>
  </si>
  <si>
    <t>https://acquirex.io/blog/human-resource-management-secrets-for-ecommerce-success/</t>
  </si>
  <si>
    <t>https://phoenixnap.com/blog/ecommerce-security-threats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</si>
</sst>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23"/>
      <name val="Calibri"/>
      <family val="2"/>
    </font>
    <font>
      <i/>
      <sz val="11"/>
      <color indexed="10"/>
      <name val="Calibri"/>
      <family val="2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14" fontId="4" fillId="0" borderId="3" xfId="0" applyNumberFormat="1" applyFont="1" applyBorder="1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0" borderId="3" xfId="1" applyBorder="1" applyAlignment="1">
      <alignment vertical="top" wrapText="1"/>
    </xf>
    <xf numFmtId="0" fontId="8" fillId="0" borderId="3" xfId="1" applyBorder="1" applyAlignment="1">
      <alignment horizontal="left" vertical="top" wrapTex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2" fillId="0" borderId="0" xfId="0" applyFont="1"/>
    <xf numFmtId="0" fontId="11" fillId="0" borderId="0" xfId="0" applyFont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top" textRotation="180"/>
    </xf>
  </cellXfs>
  <cellStyles count="2">
    <cellStyle name="Hyperlink" xfId="1" builtinId="8"/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rtinet.com/resources/cyberglossary/it-security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hoenixnap.com/blog/ecommerce-security-threats" TargetMode="External"/><Relationship Id="rId1" Type="http://schemas.openxmlformats.org/officeDocument/2006/relationships/hyperlink" Target="https://acquirex.io/blog/human-resource-management-secrets-for-ecommerce-success/" TargetMode="External"/><Relationship Id="rId6" Type="http://schemas.openxmlformats.org/officeDocument/2006/relationships/hyperlink" Target="https://elogic.co/blog/ecommerce-project-manager-responsibilities-explained/" TargetMode="External"/><Relationship Id="rId5" Type="http://schemas.openxmlformats.org/officeDocument/2006/relationships/hyperlink" Target="https://www.shipbob.com/blog/ecommerce-operations/" TargetMode="External"/><Relationship Id="rId4" Type="http://schemas.openxmlformats.org/officeDocument/2006/relationships/hyperlink" Target="https://www.stakeholdermap.com/project-dictionary/project-dictionary-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"/>
  <sheetViews>
    <sheetView tabSelected="1" topLeftCell="F7" zoomScale="80" zoomScaleNormal="80" workbookViewId="0">
      <selection activeCell="B12" sqref="B12"/>
    </sheetView>
  </sheetViews>
  <sheetFormatPr defaultColWidth="9.109375" defaultRowHeight="14.4" x14ac:dyDescent="0.3"/>
  <cols>
    <col min="1" max="1" width="17.88671875" style="15" customWidth="1"/>
    <col min="2" max="2" width="20" style="15" customWidth="1"/>
    <col min="3" max="3" width="33.88671875" style="15" customWidth="1"/>
    <col min="4" max="5" width="10.6640625" style="15" customWidth="1"/>
    <col min="6" max="6" width="11" style="15" customWidth="1"/>
    <col min="7" max="7" width="24.109375" style="15" customWidth="1"/>
    <col min="8" max="8" width="35.44140625" style="15" customWidth="1"/>
    <col min="9" max="9" width="24.5546875" style="15" customWidth="1"/>
    <col min="10" max="10" width="23.88671875" style="15" customWidth="1"/>
    <col min="11" max="11" width="22.109375" style="15" customWidth="1"/>
    <col min="12" max="12" width="23.44140625" style="15" customWidth="1"/>
    <col min="13" max="13" width="18.44140625" style="15" customWidth="1"/>
    <col min="14" max="14" width="16.77734375" style="15" customWidth="1"/>
    <col min="15" max="15" width="15.5546875" style="15" customWidth="1"/>
    <col min="16" max="16" width="13.88671875" style="15" customWidth="1"/>
    <col min="17" max="17" width="15.88671875" style="15" customWidth="1"/>
    <col min="18" max="18" width="15.6640625" style="15" customWidth="1"/>
    <col min="19" max="16384" width="9.109375" style="15"/>
  </cols>
  <sheetData>
    <row r="1" spans="1:18" ht="53.4" customHeight="1" x14ac:dyDescent="0.6">
      <c r="A1" s="14" t="s">
        <v>10</v>
      </c>
      <c r="D1" s="25"/>
      <c r="E1" s="25"/>
      <c r="F1" s="25"/>
    </row>
    <row r="2" spans="1:18" ht="56.4" customHeight="1" x14ac:dyDescent="0.35">
      <c r="A2" s="24" t="s">
        <v>33</v>
      </c>
      <c r="B2" s="15" t="s">
        <v>32</v>
      </c>
      <c r="C2" s="23"/>
      <c r="D2" s="25"/>
      <c r="E2" s="25"/>
      <c r="F2" s="25"/>
    </row>
    <row r="3" spans="1:18" ht="45.6" customHeight="1" x14ac:dyDescent="0.35">
      <c r="A3" s="22" t="s">
        <v>30</v>
      </c>
      <c r="B3" s="15" t="s">
        <v>31</v>
      </c>
      <c r="D3" s="25"/>
      <c r="E3" s="25"/>
      <c r="F3" s="25"/>
    </row>
    <row r="4" spans="1:18" ht="46.8" customHeight="1" x14ac:dyDescent="0.3">
      <c r="N4"/>
      <c r="O4"/>
      <c r="P4" s="26" t="str">
        <f>'Severity Table'!J4</f>
        <v>Likelihood</v>
      </c>
      <c r="Q4" s="26">
        <f>'Severity Table'!K4</f>
        <v>0</v>
      </c>
      <c r="R4" s="26">
        <f>'Severity Table'!L4</f>
        <v>0</v>
      </c>
    </row>
    <row r="5" spans="1:18" ht="48.6" customHeight="1" thickBot="1" x14ac:dyDescent="0.35">
      <c r="A5" s="16"/>
      <c r="N5"/>
      <c r="O5"/>
      <c r="P5" s="2">
        <f>'Severity Table'!J5</f>
        <v>1</v>
      </c>
      <c r="Q5" s="2">
        <f>'Severity Table'!K5</f>
        <v>2</v>
      </c>
      <c r="R5" s="2">
        <f>'Severity Table'!L5</f>
        <v>3</v>
      </c>
    </row>
    <row r="6" spans="1:18" s="17" customFormat="1" ht="73.8" customHeight="1" x14ac:dyDescent="0.3">
      <c r="A6" s="18" t="s">
        <v>0</v>
      </c>
      <c r="B6" s="18" t="s">
        <v>2</v>
      </c>
      <c r="C6" s="18" t="s">
        <v>1</v>
      </c>
      <c r="D6" s="18" t="s">
        <v>24</v>
      </c>
      <c r="E6" s="18" t="s">
        <v>17</v>
      </c>
      <c r="F6" s="18" t="s">
        <v>19</v>
      </c>
      <c r="G6" s="18" t="s">
        <v>18</v>
      </c>
      <c r="H6" s="18" t="s">
        <v>16</v>
      </c>
      <c r="I6" s="18" t="s">
        <v>15</v>
      </c>
      <c r="J6" s="18" t="s">
        <v>6</v>
      </c>
      <c r="K6" s="18" t="s">
        <v>5</v>
      </c>
      <c r="L6" s="18" t="s">
        <v>25</v>
      </c>
      <c r="N6" s="27" t="str">
        <f>'Severity Table'!H6</f>
        <v>Impact</v>
      </c>
      <c r="O6" s="1">
        <f>'Severity Table'!I6</f>
        <v>1</v>
      </c>
      <c r="P6" s="3" t="str">
        <f>'Severity Table'!J6</f>
        <v>Low</v>
      </c>
      <c r="Q6" s="4" t="str">
        <f>'Severity Table'!K6</f>
        <v>Low</v>
      </c>
      <c r="R6" s="6" t="str">
        <f>'Severity Table'!L6</f>
        <v>Medium</v>
      </c>
    </row>
    <row r="7" spans="1:18" ht="91.2" customHeight="1" x14ac:dyDescent="0.3">
      <c r="A7" s="12">
        <v>1</v>
      </c>
      <c r="B7" s="13" t="s">
        <v>34</v>
      </c>
      <c r="C7" s="12" t="s">
        <v>37</v>
      </c>
      <c r="D7" s="12" t="s">
        <v>7</v>
      </c>
      <c r="E7" s="12" t="s">
        <v>9</v>
      </c>
      <c r="F7" s="12" t="s">
        <v>9</v>
      </c>
      <c r="G7" s="12" t="s">
        <v>36</v>
      </c>
      <c r="H7" s="12" t="s">
        <v>47</v>
      </c>
      <c r="I7" s="12"/>
      <c r="J7" s="12" t="s">
        <v>20</v>
      </c>
      <c r="K7" s="12" t="s">
        <v>11</v>
      </c>
      <c r="L7" s="19" t="s">
        <v>52</v>
      </c>
      <c r="N7" s="27">
        <f>'Severity Table'!H7</f>
        <v>0</v>
      </c>
      <c r="O7" s="1">
        <f>'Severity Table'!I7</f>
        <v>2</v>
      </c>
      <c r="P7" s="5" t="str">
        <f>'Severity Table'!J7</f>
        <v>Low</v>
      </c>
      <c r="Q7" s="7" t="str">
        <f>'Severity Table'!K7</f>
        <v>Medium</v>
      </c>
      <c r="R7" s="9" t="str">
        <f>'Severity Table'!L7</f>
        <v>High</v>
      </c>
    </row>
    <row r="8" spans="1:18" ht="88.8" customHeight="1" thickBot="1" x14ac:dyDescent="0.35">
      <c r="A8" s="12">
        <v>2</v>
      </c>
      <c r="B8" s="13" t="s">
        <v>34</v>
      </c>
      <c r="C8" s="12" t="s">
        <v>38</v>
      </c>
      <c r="D8" s="12" t="s">
        <v>9</v>
      </c>
      <c r="E8" s="12" t="s">
        <v>9</v>
      </c>
      <c r="F8" s="12" t="s">
        <v>9</v>
      </c>
      <c r="G8" s="12" t="s">
        <v>46</v>
      </c>
      <c r="H8" s="12" t="s">
        <v>48</v>
      </c>
      <c r="I8" s="12"/>
      <c r="J8" s="12" t="s">
        <v>21</v>
      </c>
      <c r="K8" s="12" t="s">
        <v>11</v>
      </c>
      <c r="L8" s="20" t="s">
        <v>53</v>
      </c>
      <c r="N8" s="27">
        <f>'Severity Table'!H8</f>
        <v>0</v>
      </c>
      <c r="O8" s="1">
        <f>'Severity Table'!I8</f>
        <v>3</v>
      </c>
      <c r="P8" s="8" t="str">
        <f>'Severity Table'!J8</f>
        <v>Medium</v>
      </c>
      <c r="Q8" s="11" t="str">
        <f>'Severity Table'!K8</f>
        <v>High</v>
      </c>
      <c r="R8" s="10" t="str">
        <f>'Severity Table'!L8</f>
        <v>High</v>
      </c>
    </row>
    <row r="9" spans="1:18" ht="63.75" customHeight="1" x14ac:dyDescent="0.3">
      <c r="A9" s="12">
        <v>3</v>
      </c>
      <c r="B9" s="13" t="s">
        <v>34</v>
      </c>
      <c r="C9" s="12" t="s">
        <v>39</v>
      </c>
      <c r="D9" s="12" t="s">
        <v>7</v>
      </c>
      <c r="E9" s="12" t="s">
        <v>9</v>
      </c>
      <c r="F9" s="12" t="s">
        <v>8</v>
      </c>
      <c r="G9" s="12" t="s">
        <v>45</v>
      </c>
      <c r="H9" s="12" t="s">
        <v>49</v>
      </c>
      <c r="I9" s="12"/>
      <c r="J9" s="12" t="s">
        <v>22</v>
      </c>
      <c r="K9" s="12" t="s">
        <v>11</v>
      </c>
      <c r="L9" s="20" t="s">
        <v>54</v>
      </c>
    </row>
    <row r="10" spans="1:18" ht="121.5" customHeight="1" x14ac:dyDescent="0.3">
      <c r="A10" s="12">
        <v>4</v>
      </c>
      <c r="B10" s="13" t="s">
        <v>12</v>
      </c>
      <c r="C10" s="12" t="s">
        <v>40</v>
      </c>
      <c r="D10" s="12" t="s">
        <v>9</v>
      </c>
      <c r="E10" s="12" t="s">
        <v>7</v>
      </c>
      <c r="F10" s="12" t="s">
        <v>8</v>
      </c>
      <c r="G10" s="12" t="s">
        <v>44</v>
      </c>
      <c r="H10" s="12" t="s">
        <v>50</v>
      </c>
      <c r="I10" s="12"/>
      <c r="J10" s="12" t="s">
        <v>13</v>
      </c>
      <c r="K10" s="12" t="s">
        <v>11</v>
      </c>
      <c r="L10" s="20" t="s">
        <v>55</v>
      </c>
    </row>
    <row r="11" spans="1:18" ht="108" customHeight="1" x14ac:dyDescent="0.3">
      <c r="A11" s="12">
        <v>5</v>
      </c>
      <c r="B11" s="13" t="s">
        <v>12</v>
      </c>
      <c r="C11" s="12" t="s">
        <v>35</v>
      </c>
      <c r="D11" s="12" t="s">
        <v>7</v>
      </c>
      <c r="E11" s="12" t="s">
        <v>8</v>
      </c>
      <c r="F11" s="12" t="s">
        <v>9</v>
      </c>
      <c r="G11" s="12" t="s">
        <v>43</v>
      </c>
      <c r="H11" s="12" t="s">
        <v>51</v>
      </c>
      <c r="I11" s="12"/>
      <c r="J11" s="12" t="s">
        <v>23</v>
      </c>
      <c r="K11" s="12" t="s">
        <v>11</v>
      </c>
      <c r="L11" s="20" t="s">
        <v>56</v>
      </c>
    </row>
    <row r="12" spans="1:18" ht="198.75" customHeight="1" x14ac:dyDescent="0.3">
      <c r="A12" s="12">
        <v>6</v>
      </c>
      <c r="B12" s="13" t="s">
        <v>12</v>
      </c>
      <c r="C12" s="12" t="s">
        <v>41</v>
      </c>
      <c r="D12" s="12" t="s">
        <v>9</v>
      </c>
      <c r="E12" s="12" t="s">
        <v>9</v>
      </c>
      <c r="F12" s="12" t="s">
        <v>9</v>
      </c>
      <c r="G12" s="12" t="s">
        <v>42</v>
      </c>
      <c r="H12" s="12" t="s">
        <v>26</v>
      </c>
      <c r="I12" s="12"/>
      <c r="J12" s="12" t="s">
        <v>14</v>
      </c>
      <c r="K12" s="12" t="s">
        <v>11</v>
      </c>
      <c r="L12" s="20" t="s">
        <v>57</v>
      </c>
    </row>
  </sheetData>
  <mergeCells count="2">
    <mergeCell ref="P4:R4"/>
    <mergeCell ref="N6:N8"/>
  </mergeCells>
  <conditionalFormatting sqref="D7:E446">
    <cfRule type="containsText" dxfId="2" priority="1" stopIfTrue="1" operator="containsText" text="High">
      <formula>NOT(ISERROR(SEARCH("High",D7)))</formula>
    </cfRule>
    <cfRule type="containsText" dxfId="1" priority="2" stopIfTrue="1" operator="containsText" text="Low">
      <formula>NOT(ISERROR(SEARCH("Low",D7)))</formula>
    </cfRule>
    <cfRule type="containsText" dxfId="0" priority="3" stopIfTrue="1" operator="containsText" text="Medium">
      <formula>NOT(ISERROR(SEARCH("Medium",D7)))</formula>
    </cfRule>
  </conditionalFormatting>
  <hyperlinks>
    <hyperlink ref="L11" r:id="rId1" xr:uid="{00000000-0004-0000-0000-000010000000}"/>
    <hyperlink ref="L12" r:id="rId2" xr:uid="{50D771A3-23CF-4B3D-B430-535D4F5E0902}"/>
    <hyperlink ref="L9" r:id="rId3" xr:uid="{00000000-0004-0000-0000-000003000000}"/>
    <hyperlink ref="L10" r:id="rId4" location="project-sponsor" xr:uid="{00000000-0004-0000-0000-00000C000000}"/>
    <hyperlink ref="L8" r:id="rId5" xr:uid="{0AF3C913-9AD7-4C3C-ABB2-D375E271725C}"/>
    <hyperlink ref="L7" r:id="rId6" xr:uid="{2662077F-B9BE-4FAC-8548-DBFC003A551D}"/>
  </hyperlinks>
  <pageMargins left="0.23622047244094491" right="0.23622047244094491" top="0.74803149606299213" bottom="0.74803149606299213" header="0.31496062992125984" footer="0.31496062992125984"/>
  <pageSetup paperSize="9" scale="76" fitToHeight="7" orientation="landscape" r:id="rId7"/>
  <headerFooter>
    <oddHeader>&amp;LRisk Register</oddHeader>
    <oddFooter xml:space="preserve">&amp;Lwww.stakeholdermap.com&amp;C&amp;P of &amp;N&amp;R© T Morphy. stakeholdermap.com. 2009 - 2099 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A8D3B4-37A8-40E5-A85F-06D6F6E6D4D6}">
          <x14:formula1>
            <xm:f>Dropdowns!$E$4:$E$6</xm:f>
          </x14:formula1>
          <xm:sqref>K7:K12</xm:sqref>
        </x14:dataValidation>
        <x14:dataValidation type="list" allowBlank="1" showInputMessage="1" showErrorMessage="1" xr:uid="{5955573B-7E4B-4D48-B340-3FACF61F516E}">
          <x14:formula1>
            <xm:f>Dropdowns!$B$4:$B$7</xm:f>
          </x14:formula1>
          <xm:sqref>D7:D12</xm:sqref>
        </x14:dataValidation>
        <x14:dataValidation type="list" allowBlank="1" showInputMessage="1" showErrorMessage="1" xr:uid="{0D213239-6C10-4A8E-A8D4-58284C8650BE}">
          <x14:formula1>
            <xm:f>Dropdowns!$C$4:$C$7</xm:f>
          </x14:formula1>
          <xm:sqref>E7:E12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8"/>
  <sheetViews>
    <sheetView workbookViewId="0">
      <selection activeCell="G19" sqref="G19"/>
    </sheetView>
  </sheetViews>
  <sheetFormatPr defaultRowHeight="14.4" x14ac:dyDescent="0.3"/>
  <cols>
    <col min="1" max="1" width="3.33203125" customWidth="1"/>
    <col min="2" max="2" width="2.5546875" customWidth="1"/>
    <col min="3" max="3" width="3.88671875" customWidth="1"/>
    <col min="5" max="5" width="10.6640625" customWidth="1"/>
    <col min="6" max="6" width="10" customWidth="1"/>
  </cols>
  <sheetData>
    <row r="3" spans="2:12" x14ac:dyDescent="0.3">
      <c r="D3" s="26" t="s">
        <v>3</v>
      </c>
      <c r="E3" s="26"/>
      <c r="F3" s="26"/>
    </row>
    <row r="4" spans="2:12" ht="16.5" customHeight="1" thickBot="1" x14ac:dyDescent="0.35">
      <c r="D4" s="2">
        <v>1</v>
      </c>
      <c r="E4" s="2">
        <v>2</v>
      </c>
      <c r="F4" s="2">
        <v>3</v>
      </c>
      <c r="H4">
        <f t="shared" ref="H4:L8" si="0">B3</f>
        <v>0</v>
      </c>
      <c r="I4">
        <f t="shared" si="0"/>
        <v>0</v>
      </c>
      <c r="J4" s="26" t="str">
        <f t="shared" si="0"/>
        <v>Likelihood</v>
      </c>
      <c r="K4" s="26">
        <f t="shared" si="0"/>
        <v>0</v>
      </c>
      <c r="L4" s="26">
        <f t="shared" si="0"/>
        <v>0</v>
      </c>
    </row>
    <row r="5" spans="2:12" ht="33" customHeight="1" thickBot="1" x14ac:dyDescent="0.35">
      <c r="B5" s="27" t="s">
        <v>4</v>
      </c>
      <c r="C5" s="1">
        <v>1</v>
      </c>
      <c r="D5" s="3" t="s">
        <v>7</v>
      </c>
      <c r="E5" s="4" t="s">
        <v>7</v>
      </c>
      <c r="F5" s="6" t="s">
        <v>8</v>
      </c>
      <c r="H5">
        <f t="shared" si="0"/>
        <v>0</v>
      </c>
      <c r="I5">
        <f t="shared" si="0"/>
        <v>0</v>
      </c>
      <c r="J5" s="2">
        <f t="shared" si="0"/>
        <v>1</v>
      </c>
      <c r="K5" s="2">
        <f t="shared" si="0"/>
        <v>2</v>
      </c>
      <c r="L5" s="2">
        <f t="shared" si="0"/>
        <v>3</v>
      </c>
    </row>
    <row r="6" spans="2:12" ht="33" customHeight="1" x14ac:dyDescent="0.3">
      <c r="B6" s="27"/>
      <c r="C6" s="1">
        <v>2</v>
      </c>
      <c r="D6" s="5" t="s">
        <v>7</v>
      </c>
      <c r="E6" s="7" t="s">
        <v>8</v>
      </c>
      <c r="F6" s="9" t="s">
        <v>9</v>
      </c>
      <c r="H6" s="27" t="str">
        <f t="shared" si="0"/>
        <v>Impact</v>
      </c>
      <c r="I6" s="1">
        <f t="shared" si="0"/>
        <v>1</v>
      </c>
      <c r="J6" s="3" t="str">
        <f t="shared" si="0"/>
        <v>Low</v>
      </c>
      <c r="K6" s="4" t="str">
        <f t="shared" si="0"/>
        <v>Low</v>
      </c>
      <c r="L6" s="6" t="str">
        <f t="shared" si="0"/>
        <v>Medium</v>
      </c>
    </row>
    <row r="7" spans="2:12" ht="33" customHeight="1" thickBot="1" x14ac:dyDescent="0.35">
      <c r="B7" s="27"/>
      <c r="C7" s="1">
        <v>3</v>
      </c>
      <c r="D7" s="8" t="s">
        <v>8</v>
      </c>
      <c r="E7" s="11" t="s">
        <v>9</v>
      </c>
      <c r="F7" s="10" t="s">
        <v>9</v>
      </c>
      <c r="H7" s="27">
        <f t="shared" si="0"/>
        <v>0</v>
      </c>
      <c r="I7" s="1">
        <f t="shared" si="0"/>
        <v>2</v>
      </c>
      <c r="J7" s="5" t="str">
        <f t="shared" si="0"/>
        <v>Low</v>
      </c>
      <c r="K7" s="7" t="str">
        <f t="shared" si="0"/>
        <v>Medium</v>
      </c>
      <c r="L7" s="9" t="str">
        <f t="shared" si="0"/>
        <v>High</v>
      </c>
    </row>
    <row r="8" spans="2:12" ht="15" thickBot="1" x14ac:dyDescent="0.35">
      <c r="H8" s="27">
        <f t="shared" si="0"/>
        <v>0</v>
      </c>
      <c r="I8" s="1">
        <f t="shared" si="0"/>
        <v>3</v>
      </c>
      <c r="J8" s="8" t="str">
        <f t="shared" si="0"/>
        <v>Medium</v>
      </c>
      <c r="K8" s="11" t="str">
        <f t="shared" si="0"/>
        <v>High</v>
      </c>
      <c r="L8" s="10" t="str">
        <f t="shared" si="0"/>
        <v>High</v>
      </c>
    </row>
  </sheetData>
  <mergeCells count="4">
    <mergeCell ref="D3:F3"/>
    <mergeCell ref="B5:B7"/>
    <mergeCell ref="J4:L4"/>
    <mergeCell ref="H6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7"/>
  <sheetViews>
    <sheetView workbookViewId="0">
      <selection activeCell="E8" sqref="E8"/>
    </sheetView>
  </sheetViews>
  <sheetFormatPr defaultRowHeight="14.4" x14ac:dyDescent="0.3"/>
  <sheetData>
    <row r="3" spans="2:5" x14ac:dyDescent="0.3">
      <c r="B3" s="21" t="s">
        <v>3</v>
      </c>
      <c r="C3" s="21" t="s">
        <v>4</v>
      </c>
      <c r="D3" s="21"/>
      <c r="E3" s="21" t="s">
        <v>5</v>
      </c>
    </row>
    <row r="4" spans="2:5" x14ac:dyDescent="0.3">
      <c r="B4" t="s">
        <v>27</v>
      </c>
      <c r="C4" t="s">
        <v>27</v>
      </c>
      <c r="E4" t="s">
        <v>11</v>
      </c>
    </row>
    <row r="5" spans="2:5" x14ac:dyDescent="0.3">
      <c r="B5" t="s">
        <v>9</v>
      </c>
      <c r="C5" t="s">
        <v>9</v>
      </c>
      <c r="E5" t="s">
        <v>28</v>
      </c>
    </row>
    <row r="6" spans="2:5" x14ac:dyDescent="0.3">
      <c r="B6" t="s">
        <v>8</v>
      </c>
      <c r="C6" t="s">
        <v>8</v>
      </c>
      <c r="E6" t="s">
        <v>29</v>
      </c>
    </row>
    <row r="7" spans="2:5" x14ac:dyDescent="0.3">
      <c r="B7" t="s">
        <v>7</v>
      </c>
      <c r="C7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aaaf0d-ac9a-43ac-952b-04b002040d9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AA3A08C459747B32C479B93EE0C76" ma:contentTypeVersion="10" ma:contentTypeDescription="Create a new document." ma:contentTypeScope="" ma:versionID="0e7e5e5219d61861a5d58d2e43c197fe">
  <xsd:schema xmlns:xsd="http://www.w3.org/2001/XMLSchema" xmlns:xs="http://www.w3.org/2001/XMLSchema" xmlns:p="http://schemas.microsoft.com/office/2006/metadata/properties" xmlns:ns3="08aaaf0d-ac9a-43ac-952b-04b002040d90" targetNamespace="http://schemas.microsoft.com/office/2006/metadata/properties" ma:root="true" ma:fieldsID="997d958e7070ae296bf50c92b4d2ccad" ns3:_="">
    <xsd:import namespace="08aaaf0d-ac9a-43ac-952b-04b002040d9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aaf0d-ac9a-43ac-952b-04b002040d9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BE6EE-4349-4727-BD5F-4DF4973FDA69}">
  <ds:schemaRefs>
    <ds:schemaRef ds:uri="http://purl.org/dc/dcmitype/"/>
    <ds:schemaRef ds:uri="http://purl.org/dc/terms/"/>
    <ds:schemaRef ds:uri="http://schemas.microsoft.com/office/infopath/2007/PartnerControls"/>
    <ds:schemaRef ds:uri="08aaaf0d-ac9a-43ac-952b-04b002040d90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4B4DAF6-4E9E-4583-88BD-B04D03358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0057FD-B314-4A1C-80DA-495B0AF69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aaaf0d-ac9a-43ac-952b-04b002040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Risk log</vt:lpstr>
      <vt:lpstr>Severity Table</vt:lpstr>
      <vt:lpstr>Dropdowns</vt:lpstr>
      <vt:lpstr>'Risk log'!Print_Area</vt:lpstr>
      <vt:lpstr>'Risk log'!Print_Titles</vt:lpstr>
    </vt:vector>
  </TitlesOfParts>
  <Manager>stakeholdermap.com</Manager>
  <Company>stakeholdermap.com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 of Common Project Risks</dc:title>
  <dc:subject>Managing risk</dc:subject>
  <dc:creator>stakeholdermap.com</dc:creator>
  <cp:keywords>&lt;risk&gt;&lt;risk log&gt;&lt;risk register&gt;&lt;risk template&gt;</cp:keywords>
  <cp:lastModifiedBy>Kingi Jazmyne-Lee Na-Tayesha</cp:lastModifiedBy>
  <cp:lastPrinted>2020-11-23T14:26:37Z</cp:lastPrinted>
  <dcterms:created xsi:type="dcterms:W3CDTF">2010-01-07T17:19:15Z</dcterms:created>
  <dcterms:modified xsi:type="dcterms:W3CDTF">2026-05-13T06:30:10Z</dcterms:modified>
  <cp:category>Risk Management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0x0101006BFAA3A08C459747B32C479B93EE0C76</vt:lpwstr>
  </property>
</Properties>
</file>